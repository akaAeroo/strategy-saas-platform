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3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<sst xmlns="http://schemas.openxmlformats.org/spreadsheetml/2006/main" count="1" uniqueCount="1">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</sst>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"/>
    <numFmt numFmtId="165" formatCode="0.0"/>
    <numFmt numFmtId="166" formatCode="yyyy年m月"/>
    <numFmt numFmtId="167" formatCode="yyyy年m月"/>
    <numFmt numFmtId="168" formatCode="#,##0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DEBF7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center" vertical="center" wrapText="true"/>
    </xf>
    <xf applyAlignment="true" applyBorder="false" applyFill="true" applyFont="true" applyNumberFormat="false" applyProtection="false" borderId="3" fillId="3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true" applyProtection="false" borderId="5" fillId="0" fontId="3" numFmtId="164" xfId="0">
      <alignment horizontal="center" vertical="center"/>
    </xf>
    <xf applyAlignment="true" applyBorder="false" applyFill="false" applyFont="true" applyNumberFormat="true" applyProtection="false" borderId="6" fillId="0" fontId="4" numFmtId="165" xfId="0">
      <alignment horizontal="center" vertical="center"/>
    </xf>
    <xf applyAlignment="true" applyBorder="false" applyFill="false" applyFont="true" applyNumberFormat="true" applyProtection="false" borderId="7" fillId="0" fontId="3" numFmtId="166" xfId="0">
      <alignment horizontal="center" vertical="center"/>
    </xf>
    <xf applyAlignment="true" applyBorder="false" applyFill="true" applyFont="true" applyNumberFormat="true" applyProtection="false" borderId="8" fillId="4" fontId="3" numFmtId="167" xfId="0">
      <alignment horizontal="center" vertical="center"/>
    </xf>
    <xf applyAlignment="true" applyBorder="false" applyFill="true" applyFont="true" applyNumberFormat="false" applyProtection="false" borderId="9" fillId="5" fontId="3" numFmtId="0" xfId="0">
      <alignment horizontal="center" vertical="center"/>
    </xf>
    <xf applyAlignment="true" applyBorder="false" applyFill="true" applyFont="true" applyNumberFormat="true" applyProtection="false" borderId="10" fillId="6" fontId="3" numFmtId="168" xfId="0">
      <alignment horizontal="center" vertical="center"/>
    </xf>
    <xf applyAlignment="true" applyBorder="false" applyFill="true" applyFont="true" applyNumberFormat="false" applyProtection="false" borderId="11" fillId="7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3" t="str">
        <v>月份</v>
      </c>
      <c r="B1" s="3" t="str">
        <v>交易类型</v>
      </c>
      <c r="C1" s="3" t="str">
        <v>用户类型</v>
      </c>
      <c r="D1" s="11" t="str">
        <v>整体</v>
      </c>
      <c r="E1" s="11"/>
      <c r="F1" s="11"/>
      <c r="G1" s="11"/>
      <c r="H1" s="11"/>
      <c r="I1" s="1"/>
    </row>
    <row r="2">
      <c r="A2" s="3"/>
      <c r="B2" s="3"/>
      <c r="C2" s="3"/>
      <c r="D2" s="2" t="str">
        <v>交易人数</v>
      </c>
      <c r="E2" s="2" t="str">
        <v>支付金额</v>
      </c>
      <c r="F2" s="2" t="str">
        <v>交易单数</v>
      </c>
      <c r="G2" s="2" t="str">
        <v>客单价</v>
      </c>
      <c r="H2" s="2" t="str">
        <v>交易频次</v>
      </c>
      <c r="I2" s="1"/>
    </row>
    <row r="3">
      <c r="A3" s="4" t="str">
        <v>25年10月</v>
      </c>
      <c r="B3" s="4" t="str">
        <v>01 信用支付</v>
      </c>
      <c r="C3" s="4" t="str">
        <v>金融用户</v>
      </c>
      <c r="D3" s="5">
        <v>30535</v>
      </c>
      <c r="E3" s="5">
        <v>586460546</v>
      </c>
      <c r="F3" s="5">
        <v>55572</v>
      </c>
      <c r="G3" s="5">
        <f>E3/F3</f>
      </c>
      <c r="H3" s="6">
        <f>F3/D3</f>
      </c>
      <c r="I3" s="1"/>
    </row>
    <row r="4">
      <c r="A4" s="4"/>
      <c r="B4" s="4" t="str">
        <v>02 现金支付</v>
      </c>
      <c r="C4" s="4" t="str">
        <v>无授信用户</v>
      </c>
      <c r="D4" s="4">
        <v>67</v>
      </c>
      <c r="E4" s="5">
        <v>344670.72</v>
      </c>
      <c r="F4" s="4">
        <v>76</v>
      </c>
      <c r="G4" s="5">
        <v>5144</v>
      </c>
      <c r="H4" s="6">
        <f>F4/D4</f>
      </c>
      <c r="I4" s="1"/>
    </row>
    <row r="5">
      <c r="A5" s="4" t="str">
        <v>25年11月</v>
      </c>
      <c r="B5" s="4" t="str">
        <v>01 信用支付</v>
      </c>
      <c r="C5" s="4" t="str">
        <v>金融用户</v>
      </c>
      <c r="D5" s="5">
        <v>32330</v>
      </c>
      <c r="E5" s="5">
        <v>596370747</v>
      </c>
      <c r="F5" s="5">
        <v>58785</v>
      </c>
      <c r="G5" s="5">
        <f>E5/F5</f>
      </c>
      <c r="H5" s="6">
        <f>F5/D5</f>
      </c>
      <c r="I5" s="1"/>
    </row>
    <row r="6">
      <c r="A6" s="4"/>
      <c r="B6" s="4" t="str">
        <v>02 现金支付</v>
      </c>
      <c r="C6" s="4" t="str">
        <v>无授信用户</v>
      </c>
      <c r="D6" s="4">
        <v>69</v>
      </c>
      <c r="E6" s="5">
        <v>157756.59</v>
      </c>
      <c r="F6" s="4">
        <v>74</v>
      </c>
      <c r="G6" s="5">
        <v>2286</v>
      </c>
      <c r="H6" s="6">
        <f>F6/D6</f>
      </c>
      <c r="I6" s="1"/>
    </row>
    <row r="7">
      <c r="A7" s="4" t="str">
        <v>25年12月</v>
      </c>
      <c r="B7" s="4" t="str">
        <v>01 信用支付</v>
      </c>
      <c r="C7" s="4" t="str">
        <v>金融用户</v>
      </c>
      <c r="D7" s="5">
        <v>33468</v>
      </c>
      <c r="E7" s="5">
        <v>722466965</v>
      </c>
      <c r="F7" s="5">
        <v>67124</v>
      </c>
      <c r="G7" s="5">
        <f>E7/F7</f>
      </c>
      <c r="H7" s="6">
        <f>F7/D7</f>
      </c>
      <c r="I7" s="1"/>
    </row>
    <row r="8">
      <c r="A8" s="4"/>
      <c r="B8" s="4" t="str">
        <v>01 信用支付</v>
      </c>
      <c r="C8" s="4" t="str">
        <v>电商用户</v>
      </c>
      <c r="D8" s="5">
        <v>817</v>
      </c>
      <c r="E8" s="5">
        <v>499019</v>
      </c>
      <c r="F8" s="5">
        <v>1893</v>
      </c>
      <c r="G8" s="5">
        <f>E8/F8</f>
      </c>
      <c r="H8" s="6">
        <f>F8/D8</f>
      </c>
      <c r="I8" s="1"/>
    </row>
    <row r="9">
      <c r="A9" s="4"/>
      <c r="B9" s="4" t="str">
        <v>02 现金支付</v>
      </c>
      <c r="C9" s="4" t="str">
        <v>电商用户</v>
      </c>
      <c r="D9" s="4">
        <v>85</v>
      </c>
      <c r="E9" s="5">
        <v>251.7</v>
      </c>
      <c r="F9" s="4">
        <v>121</v>
      </c>
      <c r="G9" s="5">
        <v>3</v>
      </c>
      <c r="H9" s="6">
        <f>F9/D9</f>
      </c>
      <c r="I9" s="1"/>
    </row>
    <row r="10">
      <c r="A10" s="4"/>
      <c r="B10" s="4" t="str">
        <v>02 现金支付</v>
      </c>
      <c r="C10" s="4" t="str">
        <v>无授信用户</v>
      </c>
      <c r="D10" s="4">
        <v>66</v>
      </c>
      <c r="E10" s="5">
        <v>146832.46</v>
      </c>
      <c r="F10" s="4">
        <v>72</v>
      </c>
      <c r="G10" s="5">
        <v>2225</v>
      </c>
      <c r="H10" s="6">
        <f>F10/D10</f>
      </c>
      <c r="I10" s="1"/>
    </row>
    <row r="11">
      <c r="A11" s="7">
        <v>46023</v>
      </c>
      <c r="B11" s="4" t="str">
        <v>01 信用支付</v>
      </c>
      <c r="C11" s="4" t="str">
        <v>金融用户</v>
      </c>
      <c r="D11" s="5">
        <v>33582</v>
      </c>
      <c r="E11" s="5">
        <v>728896111.4</v>
      </c>
      <c r="F11" s="5">
        <v>69848</v>
      </c>
      <c r="G11" s="5">
        <f>E11/F11</f>
      </c>
      <c r="H11" s="6">
        <f>F11/D11</f>
      </c>
      <c r="I11" s="1"/>
    </row>
    <row r="12">
      <c r="A12" s="7"/>
      <c r="B12" s="4" t="str">
        <v>01 信用支付</v>
      </c>
      <c r="C12" s="4" t="str">
        <v>电商用户</v>
      </c>
      <c r="D12" s="5">
        <v>1700</v>
      </c>
      <c r="E12" s="5">
        <v>1178734.77</v>
      </c>
      <c r="F12" s="5">
        <v>4555</v>
      </c>
      <c r="G12" s="5">
        <f>E12/F12</f>
      </c>
      <c r="H12" s="6">
        <f>F12/D12</f>
      </c>
      <c r="I12" s="1"/>
    </row>
    <row r="13">
      <c r="A13" s="7"/>
      <c r="B13" s="4" t="str">
        <v>02 现金支付</v>
      </c>
      <c r="C13" s="4" t="str">
        <v>电商用户</v>
      </c>
      <c r="D13" s="4">
        <v>65</v>
      </c>
      <c r="E13" s="5">
        <v>504.85</v>
      </c>
      <c r="F13" s="4">
        <v>79</v>
      </c>
      <c r="G13" s="5">
        <f>E13/D13</f>
      </c>
      <c r="H13" s="6">
        <f>F13/D13</f>
      </c>
      <c r="I13" s="1"/>
    </row>
    <row r="14">
      <c r="A14" s="7"/>
      <c r="B14" s="4" t="str">
        <v>02 现金支付</v>
      </c>
      <c r="C14" s="4" t="str">
        <v>无授信用户</v>
      </c>
      <c r="D14" s="4">
        <v>40</v>
      </c>
      <c r="E14" s="5">
        <v>265985.4</v>
      </c>
      <c r="F14" s="4">
        <v>51</v>
      </c>
      <c r="G14" s="5">
        <f>E14/D14</f>
      </c>
      <c r="H14" s="6">
        <f>F14/D14</f>
      </c>
      <c r="I14" s="1"/>
    </row>
    <row r="15">
      <c r="A15" s="7"/>
      <c r="B15" s="4" t="str">
        <v>02 现金支付</v>
      </c>
      <c r="C15" s="4" t="str">
        <v>金融用户</v>
      </c>
      <c r="D15" s="4">
        <v>1767</v>
      </c>
      <c r="E15" s="5">
        <v>49418.33</v>
      </c>
      <c r="F15" s="4">
        <v>2207</v>
      </c>
      <c r="G15" s="5">
        <f>E15/D15</f>
      </c>
      <c r="H15" s="6">
        <f>F15/D15</f>
      </c>
      <c r="I15" s="1"/>
    </row>
    <row r="16">
      <c r="A16" s="8">
        <v>46054</v>
      </c>
      <c r="B16" s="9" t="str">
        <v>01 信用支付</v>
      </c>
      <c r="C16" s="9" t="str">
        <v>金融用户</v>
      </c>
      <c r="D16" s="10">
        <v>8801</v>
      </c>
      <c r="E16" s="10">
        <v>141246219.8</v>
      </c>
      <c r="F16" s="10">
        <v>13721</v>
      </c>
      <c r="G16" s="5">
        <f>E16/F16</f>
      </c>
      <c r="H16" s="6">
        <f>F16/D16</f>
      </c>
      <c r="I16" s="1"/>
    </row>
    <row r="17">
      <c r="A17" s="8"/>
      <c r="B17" s="9" t="str">
        <v>01 信用支付</v>
      </c>
      <c r="C17" s="9" t="str">
        <v>电商用户</v>
      </c>
      <c r="D17" s="10">
        <v>338</v>
      </c>
      <c r="E17" s="10">
        <v>151586.47</v>
      </c>
      <c r="F17" s="10">
        <v>574</v>
      </c>
      <c r="G17" s="5">
        <f>E17/F17</f>
      </c>
      <c r="H17" s="6">
        <f>F17/D17</f>
      </c>
      <c r="I17" s="1"/>
    </row>
    <row r="18">
      <c r="A18" s="8"/>
      <c r="B18" s="9" t="str">
        <v>02 现金支付</v>
      </c>
      <c r="C18" s="9" t="str">
        <v>电商用户</v>
      </c>
      <c r="D18" s="9">
        <v>12</v>
      </c>
      <c r="E18" s="10">
        <v>256.4</v>
      </c>
      <c r="F18" s="9">
        <v>17</v>
      </c>
      <c r="G18" s="10">
        <f>E18/D18</f>
      </c>
      <c r="H18" s="6">
        <f>F18/D18</f>
      </c>
      <c r="I18" s="1"/>
    </row>
    <row r="19">
      <c r="A19" s="8"/>
      <c r="B19" s="9" t="str">
        <v>02 现金支付</v>
      </c>
      <c r="C19" s="9" t="str">
        <v>金融用户</v>
      </c>
      <c r="D19" s="9">
        <v>301</v>
      </c>
      <c r="E19" s="10">
        <v>10357.31</v>
      </c>
      <c r="F19" s="9">
        <v>356</v>
      </c>
      <c r="G19" s="10">
        <f>E19/D19</f>
      </c>
      <c r="H19" s="6">
        <f>F19/D19</f>
      </c>
      <c r="I19" s="1"/>
    </row>
    <row r="20">
      <c r="A20" s="8"/>
      <c r="B20" s="9" t="str">
        <v>02 现金支付</v>
      </c>
      <c r="C20" s="9" t="str">
        <v>无授信用户</v>
      </c>
      <c r="D20" s="9">
        <v>15</v>
      </c>
      <c r="E20" s="10">
        <v>20560</v>
      </c>
      <c r="F20" s="9">
        <v>15</v>
      </c>
      <c r="G20" s="10">
        <f>E20/D20</f>
      </c>
      <c r="H20" s="6">
        <f>F20/D20</f>
      </c>
      <c r="I20" s="1"/>
    </row>
    <row r="21">
      <c r="A21" s="1"/>
      <c r="B21" s="1"/>
      <c r="C21" s="1"/>
      <c r="D21" s="1"/>
      <c r="E21" s="1"/>
      <c r="F21" s="1"/>
      <c r="G21" s="1"/>
      <c r="H21" s="1"/>
    </row>
  </sheetData>
  <mergeCells>
    <mergeCell ref="A16:A20"/>
    <mergeCell ref="A11:A15"/>
    <mergeCell ref="A7:A10"/>
    <mergeCell ref="A5:A6"/>
    <mergeCell ref="A3:A4"/>
    <mergeCell ref="C1:C2"/>
    <mergeCell ref="B1:B2"/>
    <mergeCell ref="A1:A2"/>
    <mergeCell ref="D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